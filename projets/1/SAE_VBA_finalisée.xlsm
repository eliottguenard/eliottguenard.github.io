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uunivpoitiersfr-my.sharepoint.com/personal/eliott_guenard_etu_univ-poitiers_fr/Documents/SEMESTRE 1/SAE/SAÉ VBA/"/>
    </mc:Choice>
  </mc:AlternateContent>
  <xr:revisionPtr revIDLastSave="124" documentId="13_ncr:1_{AC33B3C4-40DF-4F9D-9A18-4DFEDAC80001}" xr6:coauthVersionLast="47" xr6:coauthVersionMax="47" xr10:uidLastSave="{C3077197-4DC9-4F57-A5C0-7DB27CA8EBBA}"/>
  <bookViews>
    <workbookView xWindow="-108" yWindow="-108" windowWidth="23256" windowHeight="12456" tabRatio="925" activeTab="1" xr2:uid="{6AA46C1D-3959-45A6-8A1F-C28DA7F9B141}"/>
  </bookViews>
  <sheets>
    <sheet name="Coef - BUT1" sheetId="7" r:id="rId1"/>
    <sheet name="Note" sheetId="9" r:id="rId2"/>
    <sheet name="Résultats" sheetId="10" r:id="rId3"/>
  </sheets>
  <definedNames>
    <definedName name="ressources_S1">'Coef - BUT1'!$B$3:$B$22</definedName>
    <definedName name="ressources_S2">'Coef - BUT1'!$B$25:$B$53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3" i="9" l="1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32" i="9"/>
  <c r="C26" i="9"/>
  <c r="C27" i="9"/>
  <c r="C28" i="9"/>
  <c r="C29" i="9"/>
  <c r="C30" i="9"/>
  <c r="C15" i="9"/>
  <c r="C16" i="9"/>
  <c r="C17" i="9"/>
  <c r="C18" i="9"/>
  <c r="C19" i="9"/>
  <c r="C20" i="9"/>
  <c r="C21" i="9"/>
  <c r="C22" i="9"/>
  <c r="C23" i="9"/>
  <c r="C24" i="9"/>
  <c r="C25" i="9"/>
  <c r="C16" i="10" l="1"/>
  <c r="D16" i="10" s="1" a="1"/>
  <c r="D16" i="10" s="1"/>
  <c r="C12" i="10"/>
  <c r="D12" i="10" s="1" a="1"/>
  <c r="D12" i="10" s="1"/>
  <c r="C5" i="10"/>
  <c r="D5" i="10" s="1" a="1"/>
  <c r="D5" i="10" s="1"/>
  <c r="C14" i="10"/>
  <c r="C3" i="10"/>
  <c r="D3" i="10" s="1" a="1"/>
  <c r="D3" i="10" s="1"/>
  <c r="D18" i="10" l="1"/>
  <c r="D14" i="10" a="1"/>
  <c r="D14" i="10" s="1"/>
  <c r="C25" i="10"/>
  <c r="C23" i="10"/>
  <c r="C7" i="10" l="1"/>
  <c r="D7" i="10" s="1" a="1"/>
  <c r="D7" i="10" s="1"/>
  <c r="D9" i="10" l="1"/>
  <c r="C27" i="10"/>
  <c r="D23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<sst xmlns="http://schemas.openxmlformats.org/spreadsheetml/2006/main" count="127" uniqueCount="47">
  <si>
    <t>Semestre 1</t>
  </si>
  <si>
    <t>Bases de la programmation 1</t>
  </si>
  <si>
    <t>Tableur et Reporting</t>
  </si>
  <si>
    <t>Bases de données relationnelles 1</t>
  </si>
  <si>
    <t>Statistique descriptive 1</t>
  </si>
  <si>
    <t>Probabilités 1</t>
  </si>
  <si>
    <t>Mathématiques - analyse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</si>
  <si>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</si>
  <si>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</si>
  <si>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</si>
  <si>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 xml:space="preserve">SAÉ - Reporting à partir de données stockées dans un SGBD relationnel </t>
  </si>
  <si>
    <t>SAÉ - Écriture et lecture de fichiers de données</t>
  </si>
  <si>
    <t>SAÉ - Préparation et synthèse d'un tableau de données en vue d'une analyse exploratoire simple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</si>
  <si>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</si>
  <si>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</si>
  <si>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</si>
  <si>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</si>
  <si>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Bases de données relationnelles 2</t>
  </si>
  <si>
    <t>Bases de la programmation 2</t>
  </si>
  <si>
    <t>Programmation statistique</t>
  </si>
  <si>
    <t>Reporting et datavisualisation</t>
  </si>
  <si>
    <t>Statistique descriptive 2</t>
  </si>
  <si>
    <t>Statistique inférentielle</t>
  </si>
  <si>
    <t>Probabilités 2</t>
  </si>
  <si>
    <t>Bases de l'algèbre</t>
  </si>
  <si>
    <t>Approfondissement de l'anglais de spécialité</t>
  </si>
  <si>
    <t>Communication et sémiologie</t>
  </si>
  <si>
    <t>Étude des données de l'environnement entrepreneurial et économique</t>
  </si>
  <si>
    <t>SAÉ - Conception et implémentation d'une base de données</t>
  </si>
  <si>
    <t>SAÉ - Estimation par échantillonnage</t>
  </si>
  <si>
    <t>SAÉ - Régression sur des données réelles</t>
  </si>
  <si>
    <t>SAÉ - Datavisualisation</t>
  </si>
  <si>
    <t>SAÉ - Construction et présentation d'indicateurs de performance</t>
  </si>
  <si>
    <t>SAÉ - Analyse de données, reporting et datavisualisation</t>
  </si>
  <si>
    <t>PPP1</t>
  </si>
  <si>
    <t>PPP2</t>
  </si>
  <si>
    <t>SAÉ - Portfolio</t>
  </si>
  <si>
    <t>Moyennes</t>
  </si>
  <si>
    <t>Compétence 1 : Traiter des données à des fins décisionnelles</t>
  </si>
  <si>
    <t>Compétence 2 : Analyser statistiquement les données</t>
  </si>
  <si>
    <t>Compétence 3 : Valoriser une production dans un contexte professionnel</t>
  </si>
  <si>
    <t>Compétence Transversale</t>
  </si>
  <si>
    <t>Note</t>
  </si>
  <si>
    <t>Appréciations</t>
  </si>
  <si>
    <t>Moyennes Annuelles</t>
  </si>
  <si>
    <t>Appréciation</t>
  </si>
  <si>
    <t>Compétences Transversale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</si>
</sst>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5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 wrapText="1"/>
    </xf>
    <xf numFmtId="0" fontId="1" fillId="7" borderId="2" xfId="0" applyFont="1" applyFill="1" applyBorder="1" applyAlignment="1">
      <alignment vertical="center" wrapText="1"/>
    </xf>
    <xf numFmtId="0" fontId="0" fillId="8" borderId="0" xfId="0" applyFill="1"/>
    <xf numFmtId="0" fontId="2" fillId="9" borderId="1" xfId="0" applyFont="1" applyFill="1" applyBorder="1" applyAlignment="1">
      <alignment horizontal="center" vertical="center" wrapText="1"/>
    </xf>
    <xf numFmtId="0" fontId="5" fillId="0" borderId="1" xfId="0" applyFont="1" applyBorder="1"/>
    <xf numFmtId="0" fontId="1" fillId="6" borderId="8" xfId="0" applyFont="1" applyFill="1" applyBorder="1" applyAlignment="1">
      <alignment vertical="center"/>
    </xf>
    <xf numFmtId="0" fontId="1" fillId="4" borderId="3" xfId="0" applyFont="1" applyFill="1" applyBorder="1" applyAlignment="1">
      <alignment vertical="center" wrapText="1"/>
    </xf>
    <xf numFmtId="0" fontId="1" fillId="5" borderId="3" xfId="0" applyFont="1" applyFill="1" applyBorder="1" applyAlignment="1">
      <alignment vertical="center" wrapText="1"/>
    </xf>
    <xf numFmtId="0" fontId="1" fillId="2" borderId="10" xfId="0" applyFont="1" applyFill="1" applyBorder="1" applyAlignment="1">
      <alignment vertical="center"/>
    </xf>
    <xf numFmtId="0" fontId="0" fillId="8" borderId="0" xfId="0" applyFill="1" applyAlignment="1">
      <alignment horizontal="center"/>
    </xf>
    <xf numFmtId="0" fontId="5" fillId="0" borderId="1" xfId="0" applyFont="1" applyBorder="1" applyAlignment="1">
      <alignment horizontal="center"/>
    </xf>
    <xf numFmtId="0" fontId="1" fillId="6" borderId="10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 wrapText="1"/>
    </xf>
    <xf numFmtId="0" fontId="1" fillId="7" borderId="12" xfId="0" applyFont="1" applyFill="1" applyBorder="1" applyAlignment="1">
      <alignment vertical="center" wrapText="1"/>
    </xf>
    <xf numFmtId="0" fontId="1" fillId="5" borderId="12" xfId="0" applyFont="1" applyFill="1" applyBorder="1" applyAlignment="1">
      <alignment vertical="center" wrapText="1"/>
    </xf>
    <xf numFmtId="0" fontId="1" fillId="2" borderId="10" xfId="0" applyFont="1" applyFill="1" applyBorder="1" applyAlignment="1">
      <alignment vertical="center" wrapText="1"/>
    </xf>
    <xf numFmtId="0" fontId="1" fillId="6" borderId="4" xfId="0" applyFont="1" applyFill="1" applyBorder="1" applyAlignment="1">
      <alignment vertical="center"/>
    </xf>
    <xf numFmtId="0" fontId="1" fillId="8" borderId="0" xfId="0" applyFont="1" applyFill="1"/>
    <xf numFmtId="0" fontId="0" fillId="8" borderId="0" xfId="0" applyFill="1" applyAlignment="1">
      <alignment horizontal="center" vertical="center"/>
    </xf>
    <xf numFmtId="0" fontId="2" fillId="8" borderId="0" xfId="0" applyFont="1" applyFill="1" applyAlignment="1">
      <alignment horizontal="left" vertical="center" wrapText="1"/>
    </xf>
    <xf numFmtId="0" fontId="1" fillId="8" borderId="0" xfId="0" applyFont="1" applyFill="1" applyAlignment="1">
      <alignment vertical="center"/>
    </xf>
    <xf numFmtId="0" fontId="4" fillId="8" borderId="0" xfId="0" applyFont="1" applyFill="1" applyAlignment="1">
      <alignment horizontal="left" vertical="center"/>
    </xf>
    <xf numFmtId="0" fontId="5" fillId="8" borderId="0" xfId="0" applyFont="1" applyFill="1" applyAlignment="1">
      <alignment horizontal="center" vertical="center"/>
    </xf>
    <xf numFmtId="0" fontId="5" fillId="8" borderId="0" xfId="0" applyFont="1" applyFill="1"/>
    <xf numFmtId="2" fontId="1" fillId="8" borderId="1" xfId="0" applyNumberFormat="1" applyFont="1" applyFill="1" applyBorder="1" applyAlignment="1">
      <alignment vertical="center"/>
    </xf>
    <xf numFmtId="0" fontId="1" fillId="8" borderId="15" xfId="0" applyFont="1" applyFill="1" applyBorder="1" applyAlignment="1">
      <alignment vertical="center" wrapText="1"/>
    </xf>
    <xf numFmtId="0" fontId="0" fillId="8" borderId="1" xfId="0" applyFill="1" applyBorder="1"/>
    <xf numFmtId="0" fontId="1" fillId="8" borderId="1" xfId="0" applyFont="1" applyFill="1" applyBorder="1" applyAlignment="1">
      <alignment vertical="center"/>
    </xf>
    <xf numFmtId="2" fontId="0" fillId="8" borderId="0" xfId="0" applyNumberFormat="1" applyFill="1"/>
    <xf numFmtId="2" fontId="0" fillId="8" borderId="0" xfId="0" applyNumberFormat="1" applyFill="1" applyAlignment="1">
      <alignment horizontal="center" vertical="center"/>
    </xf>
    <xf numFmtId="2" fontId="0" fillId="8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6" borderId="14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 wrapText="1"/>
    </xf>
    <xf numFmtId="0" fontId="1" fillId="5" borderId="2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0" fillId="8" borderId="1" xfId="0" applyFill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22" xfId="0" applyBorder="1"/>
    <xf numFmtId="0" fontId="0" fillId="0" borderId="22" xfId="0" applyBorder="1" applyAlignment="1">
      <alignment vertical="center"/>
    </xf>
    <xf numFmtId="0" fontId="2" fillId="0" borderId="22" xfId="0" applyFont="1" applyBorder="1" applyAlignment="1">
      <alignment vertical="center" wrapText="1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2" fillId="0" borderId="25" xfId="0" applyFont="1" applyBorder="1" applyAlignment="1">
      <alignment vertical="center" wrapText="1"/>
    </xf>
    <xf numFmtId="0" fontId="0" fillId="8" borderId="29" xfId="0" applyFill="1" applyBorder="1" applyAlignment="1">
      <alignment vertical="center"/>
    </xf>
    <xf numFmtId="0" fontId="0" fillId="0" borderId="36" xfId="0" applyBorder="1"/>
    <xf numFmtId="0" fontId="2" fillId="7" borderId="7" xfId="0" applyFont="1" applyFill="1" applyBorder="1" applyAlignment="1">
      <alignment horizontal="left" vertical="center" wrapText="1"/>
    </xf>
    <xf numFmtId="0" fontId="2" fillId="7" borderId="9" xfId="0" applyFont="1" applyFill="1" applyBorder="1" applyAlignment="1">
      <alignment horizontal="left" vertical="center" wrapText="1"/>
    </xf>
    <xf numFmtId="0" fontId="2" fillId="7" borderId="8" xfId="0" applyFont="1" applyFill="1" applyBorder="1" applyAlignment="1">
      <alignment horizontal="left" vertical="center" wrapText="1"/>
    </xf>
    <xf numFmtId="0" fontId="2" fillId="5" borderId="7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left" vertical="center" wrapText="1"/>
    </xf>
    <xf numFmtId="0" fontId="2" fillId="5" borderId="20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center"/>
    </xf>
    <xf numFmtId="0" fontId="2" fillId="6" borderId="9" xfId="0" applyFont="1" applyFill="1" applyBorder="1" applyAlignment="1">
      <alignment horizontal="left" vertical="center" wrapText="1"/>
    </xf>
    <xf numFmtId="0" fontId="2" fillId="6" borderId="8" xfId="0" applyFont="1" applyFill="1" applyBorder="1" applyAlignment="1">
      <alignment horizontal="left" vertical="center" wrapText="1"/>
    </xf>
    <xf numFmtId="0" fontId="2" fillId="4" borderId="7" xfId="0" applyFont="1" applyFill="1" applyBorder="1" applyAlignment="1">
      <alignment horizontal="left" vertical="center" wrapText="1"/>
    </xf>
    <xf numFmtId="0" fontId="2" fillId="4" borderId="9" xfId="0" applyFont="1" applyFill="1" applyBorder="1" applyAlignment="1">
      <alignment horizontal="left" vertical="center" wrapText="1"/>
    </xf>
    <xf numFmtId="0" fontId="2" fillId="4" borderId="8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2" fillId="5" borderId="6" xfId="0" applyFont="1" applyFill="1" applyBorder="1" applyAlignment="1">
      <alignment horizontal="left" vertical="center" wrapText="1"/>
    </xf>
    <xf numFmtId="0" fontId="2" fillId="5" borderId="4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8" borderId="0" xfId="0" applyFill="1" applyAlignment="1">
      <alignment horizontal="center"/>
    </xf>
    <xf numFmtId="0" fontId="11" fillId="0" borderId="30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14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 wrapText="1"/>
    </xf>
    <xf numFmtId="0" fontId="8" fillId="5" borderId="14" xfId="0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6" borderId="16" xfId="0" applyFont="1" applyFill="1" applyBorder="1" applyAlignment="1">
      <alignment horizontal="center" vertical="center" wrapText="1"/>
    </xf>
    <xf numFmtId="0" fontId="8" fillId="6" borderId="14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E60000"/>
        </patternFill>
      </fill>
    </dxf>
  </dxfs>
  <tableStyles count="0" defaultTableStyle="TableStyleMedium2" defaultPivotStyle="PivotStyleLight16"/>
  <colors>
    <mruColors>
      <color rgb="FFFF2D2D"/>
      <color rgb="FF62E13F"/>
      <color rgb="FFE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u="sng">
                <a:solidFill>
                  <a:sysClr val="windowText" lastClr="000000"/>
                </a:solidFill>
              </a:rPr>
              <a:t>Moyennes des compétences</a:t>
            </a:r>
          </a:p>
          <a:p>
            <a:pPr>
              <a:defRPr/>
            </a:pPr>
            <a:r>
              <a:rPr lang="en-US" sz="1800" b="1" u="sng">
                <a:solidFill>
                  <a:sysClr val="windowText" lastClr="000000"/>
                </a:solidFill>
              </a:rPr>
              <a:t> du premier semestre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Résultats!$C$2</c:f>
              <c:strCache>
                <c:ptCount val="1"/>
                <c:pt idx="0">
                  <c:v>Moyennes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456-4B03-A17B-51F58DF3EA0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456-4B03-A17B-51F58DF3EA0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456-4B03-A17B-51F58DF3EA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Résultats!$B$3:$B$8</c:f>
              <c:strCache>
                <c:ptCount val="5"/>
                <c:pt idx="0">
                  <c:v>Compétence 1 : Traiter des données à des fins décisionnelles</c:v>
                </c:pt>
                <c:pt idx="2">
                  <c:v>Compétence 2 : Analyser statistiquement les données</c:v>
                </c:pt>
                <c:pt idx="4">
                  <c:v>Compétence 3 : Valoriser une production dans un contexte professionnel</c:v>
                </c:pt>
              </c:strCache>
            </c:strRef>
          </c:cat>
          <c:val>
            <c:numRef>
              <c:f>Résultats!$C$3:$C$8</c:f>
              <c:numCache>
                <c:formatCode>0.00</c:formatCode>
                <c:ptCount val="6"/>
                <c:pt idx="0">
                  <c:v>14.783333333333333</c:v>
                </c:pt>
                <c:pt idx="2">
                  <c:v>14.016666666666667</c:v>
                </c:pt>
                <c:pt idx="4">
                  <c:v>16.134583346048991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9-45A9-AA40-1F69C1595A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45320704"/>
        <c:axId val="1545321184"/>
      </c:barChart>
      <c:catAx>
        <c:axId val="15453207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45321184"/>
        <c:crosses val="autoZero"/>
        <c:auto val="1"/>
        <c:lblAlgn val="ctr"/>
        <c:lblOffset val="100"/>
        <c:noMultiLvlLbl val="0"/>
      </c:catAx>
      <c:valAx>
        <c:axId val="1545321184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4532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1300" baseline="0"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u="sng">
                <a:solidFill>
                  <a:sysClr val="windowText" lastClr="000000"/>
                </a:solidFill>
              </a:rPr>
              <a:t>Moyennes des compéteneces</a:t>
            </a:r>
            <a:r>
              <a:rPr lang="en-US" sz="1800" b="1" u="sng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/>
            </a:pPr>
            <a:r>
              <a:rPr lang="en-US" sz="1800" b="1" u="sng" baseline="0">
                <a:solidFill>
                  <a:sysClr val="windowText" lastClr="000000"/>
                </a:solidFill>
              </a:rPr>
              <a:t>du second semestre</a:t>
            </a:r>
            <a:endParaRPr lang="en-US" sz="1800" b="1" u="sng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Résultats!$C$11</c:f>
              <c:strCache>
                <c:ptCount val="1"/>
                <c:pt idx="0">
                  <c:v>Moyennes</c:v>
                </c:pt>
              </c:strCache>
            </c:strRef>
          </c:tx>
          <c:spPr>
            <a:solidFill>
              <a:srgbClr val="62E13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B0E-448A-B0F4-C1B1CD01CA1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B0E-448A-B0F4-C1B1CD01CA1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B0E-448A-B0F4-C1B1CD01CA1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Résultats!$B$12:$B$17</c:f>
              <c:strCache>
                <c:ptCount val="5"/>
                <c:pt idx="0">
                  <c:v>Compétence 1 : Traiter des données à des fins décisionnelles</c:v>
                </c:pt>
                <c:pt idx="2">
                  <c:v>Compétence 2 : Analyser statistiquement les données</c:v>
                </c:pt>
                <c:pt idx="4">
                  <c:v>Compétence 3 : Valoriser une production dans un contexte professionnel</c:v>
                </c:pt>
              </c:strCache>
            </c:strRef>
          </c:cat>
          <c:val>
            <c:numRef>
              <c:f>Résultats!$C$12:$C$17</c:f>
              <c:numCache>
                <c:formatCode>0.00</c:formatCode>
                <c:ptCount val="6"/>
                <c:pt idx="0">
                  <c:v>10.2125</c:v>
                </c:pt>
                <c:pt idx="2">
                  <c:v>11.824999999999999</c:v>
                </c:pt>
                <c:pt idx="4">
                  <c:v>12.134124999999999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54-4850-8E87-E44ECA8BB9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618163151"/>
        <c:axId val="1618164111"/>
      </c:barChart>
      <c:catAx>
        <c:axId val="16181631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8164111"/>
        <c:crosses val="autoZero"/>
        <c:auto val="1"/>
        <c:lblAlgn val="ctr"/>
        <c:lblOffset val="100"/>
        <c:noMultiLvlLbl val="0"/>
      </c:catAx>
      <c:valAx>
        <c:axId val="1618164111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18163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u="sng">
                <a:solidFill>
                  <a:sysClr val="windowText" lastClr="000000"/>
                </a:solidFill>
              </a:rPr>
              <a:t>Moyennes Annuelles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Résultats!$C$22</c:f>
              <c:strCache>
                <c:ptCount val="1"/>
                <c:pt idx="0">
                  <c:v>Moyennes Annuelles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9A5-421D-89B7-8DB4DB2277B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9A5-421D-89B7-8DB4DB2277B3}"/>
              </c:ext>
            </c:extLst>
          </c:dPt>
          <c:dPt>
            <c:idx val="4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9A5-421D-89B7-8DB4DB2277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Résultats!$B$23:$B$28</c:f>
              <c:strCache>
                <c:ptCount val="5"/>
                <c:pt idx="0">
                  <c:v>Compétence 1 : Traiter des données à des fins décisionnelles</c:v>
                </c:pt>
                <c:pt idx="2">
                  <c:v>Compétence 2 : Analyser statistiquement les données</c:v>
                </c:pt>
                <c:pt idx="4">
                  <c:v>Compétence 3 : Valoriser une production dans un contexte professionnel</c:v>
                </c:pt>
              </c:strCache>
            </c:strRef>
          </c:cat>
          <c:val>
            <c:numRef>
              <c:f>Résultats!$C$23:$C$28</c:f>
              <c:numCache>
                <c:formatCode>0.00</c:formatCode>
                <c:ptCount val="6"/>
                <c:pt idx="0">
                  <c:v>12.497916666666667</c:v>
                </c:pt>
                <c:pt idx="2">
                  <c:v>12.920833333333334</c:v>
                </c:pt>
                <c:pt idx="4">
                  <c:v>14.134354173024494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A5-421D-89B7-8DB4DB2277B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995122127"/>
        <c:axId val="1995129199"/>
        <c:axId val="0"/>
      </c:bar3DChart>
      <c:catAx>
        <c:axId val="1995122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95129199"/>
        <c:crosses val="autoZero"/>
        <c:auto val="1"/>
        <c:lblAlgn val="ctr"/>
        <c:lblOffset val="100"/>
        <c:noMultiLvlLbl val="0"/>
      </c:catAx>
      <c:valAx>
        <c:axId val="1995129199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95122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99060</xdr:rowOff>
        </xdr:from>
        <xdr:to>
          <xdr:col>0</xdr:col>
          <xdr:colOff>2575560</xdr:colOff>
          <xdr:row>8</xdr:row>
          <xdr:rowOff>144780</xdr:rowOff>
        </xdr:to>
        <xdr:sp macro="" textlink="">
          <xdr:nvSpPr>
            <xdr:cNvPr id="3073" name="btnInserNot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3611880</xdr:colOff>
          <xdr:row>2</xdr:row>
          <xdr:rowOff>106680</xdr:rowOff>
        </xdr:from>
        <xdr:to>
          <xdr:col>2</xdr:col>
          <xdr:colOff>434340</xdr:colOff>
          <xdr:row>8</xdr:row>
          <xdr:rowOff>152400</xdr:rowOff>
        </xdr:to>
        <xdr:sp macro="" textlink="">
          <xdr:nvSpPr>
            <xdr:cNvPr id="3074" name="btnSupprNo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3870960</xdr:colOff>
          <xdr:row>2</xdr:row>
          <xdr:rowOff>99060</xdr:rowOff>
        </xdr:from>
        <xdr:to>
          <xdr:col>1</xdr:col>
          <xdr:colOff>2324100</xdr:colOff>
          <xdr:row>8</xdr:row>
          <xdr:rowOff>144780</xdr:rowOff>
        </xdr:to>
        <xdr:sp macro="" textlink="">
          <xdr:nvSpPr>
            <xdr:cNvPr id="3075" name="btnModifNo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</xdr:row>
          <xdr:rowOff>83820</xdr:rowOff>
        </xdr:from>
        <xdr:to>
          <xdr:col>8</xdr:col>
          <xdr:colOff>22860</xdr:colOff>
          <xdr:row>9</xdr:row>
          <xdr:rowOff>0</xdr:rowOff>
        </xdr:to>
        <xdr:sp macro="" textlink="">
          <xdr:nvSpPr>
            <xdr:cNvPr id="3077" name="AccesGuid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156882</xdr:colOff>
      <xdr:row>1</xdr:row>
      <xdr:rowOff>56029</xdr:rowOff>
    </xdr:from>
    <xdr:to>
      <xdr:col>15</xdr:col>
      <xdr:colOff>470647</xdr:colOff>
      <xdr:row>9</xdr:row>
      <xdr:rowOff>51715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77882" y="246529"/>
          <a:ext cx="4885765" cy="1519686"/>
        </a:xfrm>
        <a:prstGeom prst="rect">
          <a:avLst/>
        </a:prstGeom>
      </xdr:spPr>
    </xdr:pic>
    <xdr:clientData/>
  </xdr:twoCellAnchor>
  <xdr:twoCellAnchor editAs="oneCell">
    <xdr:from>
      <xdr:col>9</xdr:col>
      <xdr:colOff>459441</xdr:colOff>
      <xdr:row>13</xdr:row>
      <xdr:rowOff>172911</xdr:rowOff>
    </xdr:from>
    <xdr:to>
      <xdr:col>15</xdr:col>
      <xdr:colOff>172580</xdr:colOff>
      <xdr:row>24</xdr:row>
      <xdr:rowOff>122103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80441" y="2649411"/>
          <a:ext cx="4285139" cy="2089516"/>
        </a:xfrm>
        <a:prstGeom prst="rect">
          <a:avLst/>
        </a:prstGeom>
      </xdr:spPr>
    </xdr:pic>
    <xdr:clientData/>
  </xdr:twoCellAnchor>
  <xdr:twoCellAnchor editAs="oneCell">
    <xdr:from>
      <xdr:col>10</xdr:col>
      <xdr:colOff>313765</xdr:colOff>
      <xdr:row>27</xdr:row>
      <xdr:rowOff>0</xdr:rowOff>
    </xdr:from>
    <xdr:to>
      <xdr:col>14</xdr:col>
      <xdr:colOff>118783</xdr:colOff>
      <xdr:row>41</xdr:row>
      <xdr:rowOff>141195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-53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5" y="5188324"/>
          <a:ext cx="2853018" cy="2853018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122464</xdr:colOff>
      <xdr:row>0</xdr:row>
      <xdr:rowOff>310240</xdr:rowOff>
    </xdr:from>
    <xdr:to>
      <xdr:col>25</xdr:col>
      <xdr:colOff>244928</xdr:colOff>
      <xdr:row>15</xdr:row>
      <xdr:rowOff>204108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119743</xdr:colOff>
      <xdr:row>16</xdr:row>
      <xdr:rowOff>32656</xdr:rowOff>
    </xdr:from>
    <xdr:to>
      <xdr:col>25</xdr:col>
      <xdr:colOff>272143</xdr:colOff>
      <xdr:row>32</xdr:row>
      <xdr:rowOff>176894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108857</xdr:colOff>
      <xdr:row>33</xdr:row>
      <xdr:rowOff>125186</xdr:rowOff>
    </xdr:from>
    <xdr:to>
      <xdr:col>25</xdr:col>
      <xdr:colOff>285750</xdr:colOff>
      <xdr:row>56</xdr:row>
      <xdr:rowOff>81644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1">
    <pageSetUpPr fitToPage="1"/>
  </sheetPr>
  <dimension ref="A2:F71"/>
  <sheetViews>
    <sheetView topLeftCell="A24" zoomScale="85" zoomScaleNormal="85" workbookViewId="0">
      <selection activeCell="C32" sqref="C32"/>
    </sheetView>
  </sheetViews>
  <sheetFormatPr baseColWidth="10" defaultColWidth="47.44140625" defaultRowHeight="14.4" x14ac:dyDescent="0.3"/>
  <cols>
    <col min="1" max="1" width="41.44140625" style="24" bestFit="1" customWidth="1"/>
    <col min="2" max="2" width="64.33203125" style="9" bestFit="1" customWidth="1"/>
    <col min="3" max="3" width="8.44140625" style="25" customWidth="1"/>
    <col min="4" max="4" width="4.44140625" style="9" customWidth="1"/>
    <col min="5" max="5" width="5.5546875" style="9" bestFit="1" customWidth="1"/>
    <col min="6" max="16384" width="47.44140625" style="9"/>
  </cols>
  <sheetData>
    <row r="2" spans="1:6" ht="18" x14ac:dyDescent="0.35">
      <c r="A2" s="71" t="s">
        <v>0</v>
      </c>
      <c r="B2" s="71"/>
      <c r="C2" s="71"/>
      <c r="D2" s="29"/>
      <c r="E2" s="29"/>
    </row>
    <row r="3" spans="1:6" ht="15" customHeight="1" x14ac:dyDescent="0.3">
      <c r="A3" s="72" t="s">
        <v>38</v>
      </c>
      <c r="B3" s="23" t="s">
        <v>2</v>
      </c>
      <c r="C3" s="42">
        <v>15</v>
      </c>
    </row>
    <row r="4" spans="1:6" x14ac:dyDescent="0.3">
      <c r="A4" s="72"/>
      <c r="B4" s="5" t="s">
        <v>3</v>
      </c>
      <c r="C4" s="43">
        <v>20</v>
      </c>
    </row>
    <row r="5" spans="1:6" x14ac:dyDescent="0.3">
      <c r="A5" s="72"/>
      <c r="B5" s="5" t="s">
        <v>1</v>
      </c>
      <c r="C5" s="43">
        <v>20</v>
      </c>
    </row>
    <row r="6" spans="1:6" x14ac:dyDescent="0.3">
      <c r="A6" s="72"/>
      <c r="B6" s="1" t="s">
        <v>34</v>
      </c>
      <c r="C6" s="43">
        <v>5</v>
      </c>
      <c r="F6" s="35"/>
    </row>
    <row r="7" spans="1:6" x14ac:dyDescent="0.3">
      <c r="A7" s="72"/>
      <c r="B7" s="5" t="s">
        <v>10</v>
      </c>
      <c r="C7" s="43">
        <v>30</v>
      </c>
    </row>
    <row r="8" spans="1:6" x14ac:dyDescent="0.3">
      <c r="A8" s="73"/>
      <c r="B8" s="5" t="s">
        <v>11</v>
      </c>
      <c r="C8" s="43">
        <v>10</v>
      </c>
    </row>
    <row r="9" spans="1:6" x14ac:dyDescent="0.3">
      <c r="A9" s="26"/>
      <c r="B9" s="28"/>
      <c r="C9" s="39"/>
    </row>
    <row r="10" spans="1:6" ht="15" customHeight="1" x14ac:dyDescent="0.3">
      <c r="A10" s="74" t="s">
        <v>39</v>
      </c>
      <c r="B10" s="4" t="s">
        <v>4</v>
      </c>
      <c r="C10" s="44">
        <v>20</v>
      </c>
    </row>
    <row r="11" spans="1:6" ht="15" customHeight="1" x14ac:dyDescent="0.3">
      <c r="A11" s="75"/>
      <c r="B11" s="4" t="s">
        <v>5</v>
      </c>
      <c r="C11" s="44">
        <v>15</v>
      </c>
    </row>
    <row r="12" spans="1:6" x14ac:dyDescent="0.3">
      <c r="A12" s="75"/>
      <c r="B12" s="4" t="s">
        <v>6</v>
      </c>
      <c r="C12" s="44">
        <v>20</v>
      </c>
    </row>
    <row r="13" spans="1:6" x14ac:dyDescent="0.3">
      <c r="A13" s="75"/>
      <c r="B13" s="1" t="s">
        <v>34</v>
      </c>
      <c r="C13" s="44">
        <v>5</v>
      </c>
    </row>
    <row r="14" spans="1:6" ht="28.8" x14ac:dyDescent="0.3">
      <c r="A14" s="76"/>
      <c r="B14" s="4" t="s">
        <v>12</v>
      </c>
      <c r="C14" s="44">
        <v>40</v>
      </c>
    </row>
    <row r="15" spans="1:6" x14ac:dyDescent="0.3">
      <c r="A15" s="26"/>
      <c r="B15" s="27"/>
      <c r="C15" s="39"/>
    </row>
    <row r="16" spans="1:6" ht="15" customHeight="1" x14ac:dyDescent="0.3">
      <c r="A16" s="77" t="s">
        <v>40</v>
      </c>
      <c r="B16" s="3" t="s">
        <v>7</v>
      </c>
      <c r="C16" s="45">
        <v>15</v>
      </c>
    </row>
    <row r="17" spans="1:3" x14ac:dyDescent="0.3">
      <c r="A17" s="78"/>
      <c r="B17" s="3" t="s">
        <v>8</v>
      </c>
      <c r="C17" s="45">
        <v>15</v>
      </c>
    </row>
    <row r="18" spans="1:3" x14ac:dyDescent="0.3">
      <c r="A18" s="78"/>
      <c r="B18" s="3" t="s">
        <v>9</v>
      </c>
      <c r="C18" s="45">
        <v>25</v>
      </c>
    </row>
    <row r="19" spans="1:3" x14ac:dyDescent="0.3">
      <c r="A19" s="78"/>
      <c r="B19" s="1" t="s">
        <v>34</v>
      </c>
      <c r="C19" s="45">
        <v>5</v>
      </c>
    </row>
    <row r="20" spans="1:3" x14ac:dyDescent="0.3">
      <c r="A20" s="78"/>
      <c r="B20" s="3" t="s">
        <v>13</v>
      </c>
      <c r="C20" s="45">
        <v>15</v>
      </c>
    </row>
    <row r="21" spans="1:3" x14ac:dyDescent="0.3">
      <c r="A21" s="78"/>
      <c r="B21" s="3" t="s">
        <v>14</v>
      </c>
      <c r="C21" s="45">
        <v>10</v>
      </c>
    </row>
    <row r="22" spans="1:3" x14ac:dyDescent="0.3">
      <c r="A22" s="79"/>
      <c r="B22" s="3" t="s">
        <v>15</v>
      </c>
      <c r="C22" s="45">
        <v>15</v>
      </c>
    </row>
    <row r="23" spans="1:3" x14ac:dyDescent="0.3">
      <c r="C23" s="40"/>
    </row>
    <row r="24" spans="1:3" ht="18" x14ac:dyDescent="0.35">
      <c r="A24" s="71" t="s">
        <v>16</v>
      </c>
      <c r="B24" s="71"/>
      <c r="C24" s="71"/>
    </row>
    <row r="25" spans="1:3" ht="15" customHeight="1" x14ac:dyDescent="0.3">
      <c r="A25" s="72" t="s">
        <v>38</v>
      </c>
      <c r="B25" s="12" t="s">
        <v>20</v>
      </c>
      <c r="C25" s="46">
        <v>10</v>
      </c>
    </row>
    <row r="26" spans="1:3" x14ac:dyDescent="0.3">
      <c r="A26" s="72"/>
      <c r="B26" s="6" t="s">
        <v>17</v>
      </c>
      <c r="C26" s="38">
        <v>15</v>
      </c>
    </row>
    <row r="27" spans="1:3" x14ac:dyDescent="0.3">
      <c r="A27" s="72"/>
      <c r="B27" s="6" t="s">
        <v>18</v>
      </c>
      <c r="C27" s="38">
        <v>15</v>
      </c>
    </row>
    <row r="28" spans="1:3" x14ac:dyDescent="0.3">
      <c r="A28" s="72"/>
      <c r="B28" s="6" t="s">
        <v>19</v>
      </c>
      <c r="C28" s="38">
        <v>15</v>
      </c>
    </row>
    <row r="29" spans="1:3" x14ac:dyDescent="0.3">
      <c r="A29" s="72"/>
      <c r="B29" s="15" t="s">
        <v>35</v>
      </c>
      <c r="C29" s="38">
        <v>5</v>
      </c>
    </row>
    <row r="30" spans="1:3" ht="15.9" customHeight="1" x14ac:dyDescent="0.3">
      <c r="A30" s="72"/>
      <c r="B30" s="6" t="s">
        <v>28</v>
      </c>
      <c r="C30" s="38">
        <v>10</v>
      </c>
    </row>
    <row r="31" spans="1:3" ht="15.9" customHeight="1" x14ac:dyDescent="0.3">
      <c r="A31" s="72"/>
      <c r="B31" s="22" t="s">
        <v>31</v>
      </c>
      <c r="C31" s="38">
        <v>5</v>
      </c>
    </row>
    <row r="32" spans="1:3" x14ac:dyDescent="0.3">
      <c r="A32" s="72"/>
      <c r="B32" s="22" t="s">
        <v>33</v>
      </c>
      <c r="C32" s="38">
        <v>20</v>
      </c>
    </row>
    <row r="33" spans="1:3" x14ac:dyDescent="0.3">
      <c r="A33" s="73"/>
      <c r="B33" s="15" t="s">
        <v>36</v>
      </c>
      <c r="C33" s="38">
        <v>5</v>
      </c>
    </row>
    <row r="34" spans="1:3" x14ac:dyDescent="0.3">
      <c r="A34" s="26"/>
      <c r="B34" s="27"/>
      <c r="C34" s="41"/>
    </row>
    <row r="35" spans="1:3" ht="15" customHeight="1" x14ac:dyDescent="0.3">
      <c r="A35" s="65" t="s">
        <v>39</v>
      </c>
      <c r="B35" s="8" t="s">
        <v>21</v>
      </c>
      <c r="C35" s="47">
        <v>10</v>
      </c>
    </row>
    <row r="36" spans="1:3" x14ac:dyDescent="0.3">
      <c r="A36" s="66"/>
      <c r="B36" s="8" t="s">
        <v>23</v>
      </c>
      <c r="C36" s="47">
        <v>15</v>
      </c>
    </row>
    <row r="37" spans="1:3" x14ac:dyDescent="0.3">
      <c r="A37" s="66"/>
      <c r="B37" s="8" t="s">
        <v>24</v>
      </c>
      <c r="C37" s="47">
        <v>15</v>
      </c>
    </row>
    <row r="38" spans="1:3" x14ac:dyDescent="0.3">
      <c r="A38" s="66"/>
      <c r="B38" s="8" t="s">
        <v>22</v>
      </c>
      <c r="C38" s="47">
        <v>15</v>
      </c>
    </row>
    <row r="39" spans="1:3" x14ac:dyDescent="0.3">
      <c r="A39" s="66"/>
      <c r="B39" s="1" t="s">
        <v>35</v>
      </c>
      <c r="C39" s="47">
        <v>5</v>
      </c>
    </row>
    <row r="40" spans="1:3" x14ac:dyDescent="0.3">
      <c r="A40" s="66"/>
      <c r="B40" s="8" t="s">
        <v>29</v>
      </c>
      <c r="C40" s="47">
        <v>10</v>
      </c>
    </row>
    <row r="41" spans="1:3" x14ac:dyDescent="0.3">
      <c r="A41" s="66"/>
      <c r="B41" s="8" t="s">
        <v>30</v>
      </c>
      <c r="C41" s="47">
        <v>10</v>
      </c>
    </row>
    <row r="42" spans="1:3" x14ac:dyDescent="0.3">
      <c r="A42" s="66"/>
      <c r="B42" s="2" t="s">
        <v>31</v>
      </c>
      <c r="C42" s="47">
        <v>5</v>
      </c>
    </row>
    <row r="43" spans="1:3" x14ac:dyDescent="0.3">
      <c r="A43" s="66"/>
      <c r="B43" s="2" t="s">
        <v>33</v>
      </c>
      <c r="C43" s="47">
        <v>10</v>
      </c>
    </row>
    <row r="44" spans="1:3" x14ac:dyDescent="0.3">
      <c r="A44" s="67"/>
      <c r="B44" s="1" t="s">
        <v>36</v>
      </c>
      <c r="C44" s="47">
        <v>5</v>
      </c>
    </row>
    <row r="45" spans="1:3" x14ac:dyDescent="0.3">
      <c r="A45" s="26"/>
      <c r="B45" s="27"/>
      <c r="C45" s="41"/>
    </row>
    <row r="46" spans="1:3" ht="15" customHeight="1" x14ac:dyDescent="0.3">
      <c r="A46" s="68" t="s">
        <v>40</v>
      </c>
      <c r="B46" s="3" t="s">
        <v>25</v>
      </c>
      <c r="C46" s="45">
        <v>15</v>
      </c>
    </row>
    <row r="47" spans="1:3" x14ac:dyDescent="0.3">
      <c r="A47" s="69"/>
      <c r="B47" s="3" t="s">
        <v>26</v>
      </c>
      <c r="C47" s="45">
        <v>15</v>
      </c>
    </row>
    <row r="48" spans="1:3" x14ac:dyDescent="0.3">
      <c r="A48" s="69"/>
      <c r="B48" s="3" t="s">
        <v>27</v>
      </c>
      <c r="C48" s="45">
        <v>25</v>
      </c>
    </row>
    <row r="49" spans="1:3" x14ac:dyDescent="0.3">
      <c r="A49" s="69"/>
      <c r="B49" s="1" t="s">
        <v>35</v>
      </c>
      <c r="C49" s="45">
        <v>5</v>
      </c>
    </row>
    <row r="50" spans="1:3" x14ac:dyDescent="0.3">
      <c r="A50" s="69"/>
      <c r="B50" s="7" t="s">
        <v>31</v>
      </c>
      <c r="C50" s="45">
        <v>5</v>
      </c>
    </row>
    <row r="51" spans="1:3" x14ac:dyDescent="0.3">
      <c r="A51" s="69"/>
      <c r="B51" s="3" t="s">
        <v>32</v>
      </c>
      <c r="C51" s="45">
        <v>10</v>
      </c>
    </row>
    <row r="52" spans="1:3" x14ac:dyDescent="0.3">
      <c r="A52" s="69"/>
      <c r="B52" s="2" t="s">
        <v>33</v>
      </c>
      <c r="C52" s="45">
        <v>20</v>
      </c>
    </row>
    <row r="53" spans="1:3" x14ac:dyDescent="0.3">
      <c r="A53" s="70"/>
      <c r="B53" s="1" t="s">
        <v>36</v>
      </c>
      <c r="C53" s="48">
        <v>5</v>
      </c>
    </row>
    <row r="56" spans="1:3" x14ac:dyDescent="0.3">
      <c r="C56" s="36"/>
    </row>
    <row r="57" spans="1:3" x14ac:dyDescent="0.3">
      <c r="C57" s="36"/>
    </row>
    <row r="58" spans="1:3" x14ac:dyDescent="0.3">
      <c r="C58" s="36"/>
    </row>
    <row r="62" spans="1:3" x14ac:dyDescent="0.3">
      <c r="C62" s="36"/>
    </row>
    <row r="63" spans="1:3" x14ac:dyDescent="0.3">
      <c r="C63" s="36"/>
    </row>
    <row r="64" spans="1:3" x14ac:dyDescent="0.3">
      <c r="C64" s="36"/>
    </row>
    <row r="67" spans="3:5" x14ac:dyDescent="0.3">
      <c r="C67" s="16"/>
    </row>
    <row r="68" spans="3:5" x14ac:dyDescent="0.3">
      <c r="C68" s="37"/>
    </row>
    <row r="69" spans="3:5" x14ac:dyDescent="0.3">
      <c r="C69" s="37"/>
    </row>
    <row r="70" spans="3:5" x14ac:dyDescent="0.3">
      <c r="C70" s="37"/>
    </row>
    <row r="71" spans="3:5" x14ac:dyDescent="0.3">
      <c r="C71" s="16"/>
      <c r="E71" s="35"/>
    </row>
  </sheetData>
  <mergeCells count="8">
    <mergeCell ref="A35:A44"/>
    <mergeCell ref="A46:A53"/>
    <mergeCell ref="A2:C2"/>
    <mergeCell ref="A3:A8"/>
    <mergeCell ref="A10:A14"/>
    <mergeCell ref="A24:C24"/>
    <mergeCell ref="A25:A33"/>
    <mergeCell ref="A16:A22"/>
  </mergeCells>
  <phoneticPr fontId="6" type="noConversion"/>
  <pageMargins left="0.7" right="0.7" top="0.75" bottom="0.75" header="0.3" footer="0.3"/>
  <pageSetup paperSize="9" scale="8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75C28-FF32-4A0E-8151-A1D6172A2283}">
  <sheetPr codeName="Feuil3"/>
  <dimension ref="A1:N52"/>
  <sheetViews>
    <sheetView tabSelected="1" topLeftCell="A20" zoomScale="85" zoomScaleNormal="85" workbookViewId="0">
      <selection activeCell="D51" sqref="D51"/>
    </sheetView>
  </sheetViews>
  <sheetFormatPr baseColWidth="10" defaultColWidth="11.44140625" defaultRowHeight="14.4" x14ac:dyDescent="0.3"/>
  <cols>
    <col min="1" max="1" width="66.44140625" style="9" bestFit="1" customWidth="1"/>
    <col min="2" max="2" width="86" style="9" customWidth="1"/>
    <col min="3" max="3" width="13.33203125" style="9" bestFit="1" customWidth="1"/>
    <col min="4" max="16384" width="11.44140625" style="9"/>
  </cols>
  <sheetData>
    <row r="1" spans="1:14" x14ac:dyDescent="0.3">
      <c r="D1" s="16"/>
    </row>
    <row r="2" spans="1:14" x14ac:dyDescent="0.3">
      <c r="D2" s="16"/>
    </row>
    <row r="3" spans="1:14" x14ac:dyDescent="0.3">
      <c r="D3" s="16"/>
    </row>
    <row r="4" spans="1:14" x14ac:dyDescent="0.3">
      <c r="D4" s="16"/>
    </row>
    <row r="5" spans="1:14" x14ac:dyDescent="0.3">
      <c r="D5" s="16"/>
    </row>
    <row r="14" spans="1:14" ht="18" x14ac:dyDescent="0.35">
      <c r="A14" s="71" t="s">
        <v>0</v>
      </c>
      <c r="B14" s="71"/>
      <c r="C14" s="17" t="s">
        <v>37</v>
      </c>
      <c r="D14" s="11" t="s">
        <v>42</v>
      </c>
      <c r="E14" s="11" t="s">
        <v>42</v>
      </c>
      <c r="F14" s="11" t="s">
        <v>42</v>
      </c>
      <c r="G14" s="11" t="s">
        <v>42</v>
      </c>
      <c r="H14" s="11" t="s">
        <v>42</v>
      </c>
      <c r="I14" s="30"/>
      <c r="J14" s="30"/>
      <c r="K14" s="30"/>
      <c r="L14" s="30"/>
      <c r="M14" s="30"/>
      <c r="N14" s="30"/>
    </row>
    <row r="15" spans="1:14" x14ac:dyDescent="0.3">
      <c r="A15" s="84" t="s">
        <v>38</v>
      </c>
      <c r="B15" s="12" t="s">
        <v>2</v>
      </c>
      <c r="C15" s="31">
        <f t="shared" ref="C15:C24" si="0">IF(OR(D15="ABI",E15="ABI",F15="ABI",G15="ABI",H15="ABI")=TRUE, 0, IF(COUNTA(D15:H15)=0, 0, AVERAGE(D15:H15)))</f>
        <v>15.5</v>
      </c>
      <c r="D15" s="52">
        <v>18</v>
      </c>
      <c r="E15" s="52">
        <v>13</v>
      </c>
      <c r="F15" s="33"/>
      <c r="G15" s="33"/>
      <c r="H15" s="33"/>
    </row>
    <row r="16" spans="1:14" x14ac:dyDescent="0.3">
      <c r="A16" s="84"/>
      <c r="B16" s="6" t="s">
        <v>3</v>
      </c>
      <c r="C16" s="31">
        <f t="shared" si="0"/>
        <v>14.5</v>
      </c>
      <c r="D16" s="52">
        <v>14.5</v>
      </c>
      <c r="E16" s="33"/>
      <c r="F16" s="33"/>
      <c r="G16" s="33"/>
      <c r="H16" s="33"/>
    </row>
    <row r="17" spans="1:14" x14ac:dyDescent="0.3">
      <c r="A17" s="84"/>
      <c r="B17" s="6" t="s">
        <v>1</v>
      </c>
      <c r="C17" s="31">
        <f t="shared" si="0"/>
        <v>14.166666666666666</v>
      </c>
      <c r="D17" s="52">
        <v>18</v>
      </c>
      <c r="E17" s="33">
        <v>10</v>
      </c>
      <c r="F17" s="33">
        <v>14.5</v>
      </c>
      <c r="G17" s="33"/>
      <c r="H17" s="33"/>
    </row>
    <row r="18" spans="1:14" x14ac:dyDescent="0.3">
      <c r="A18" s="84"/>
      <c r="B18" s="6" t="s">
        <v>10</v>
      </c>
      <c r="C18" s="31">
        <f t="shared" si="0"/>
        <v>14</v>
      </c>
      <c r="D18" s="50">
        <v>14</v>
      </c>
      <c r="E18" s="33"/>
      <c r="F18" s="33"/>
      <c r="G18" s="33"/>
      <c r="H18" s="33"/>
    </row>
    <row r="19" spans="1:14" x14ac:dyDescent="0.3">
      <c r="A19" s="84"/>
      <c r="B19" s="6" t="s">
        <v>11</v>
      </c>
      <c r="C19" s="31">
        <f t="shared" si="0"/>
        <v>17</v>
      </c>
      <c r="D19" s="50">
        <v>17</v>
      </c>
      <c r="E19" s="33"/>
      <c r="F19" s="33"/>
      <c r="G19" s="33"/>
      <c r="H19" s="33"/>
    </row>
    <row r="20" spans="1:14" x14ac:dyDescent="0.3">
      <c r="A20" s="85" t="s">
        <v>39</v>
      </c>
      <c r="B20" s="13" t="s">
        <v>4</v>
      </c>
      <c r="C20" s="31">
        <f t="shared" si="0"/>
        <v>17</v>
      </c>
      <c r="D20" s="50">
        <v>15.5</v>
      </c>
      <c r="E20" s="33">
        <v>18.5</v>
      </c>
      <c r="F20" s="33"/>
      <c r="G20" s="33"/>
      <c r="H20" s="33"/>
    </row>
    <row r="21" spans="1:14" x14ac:dyDescent="0.3">
      <c r="A21" s="86"/>
      <c r="B21" s="13" t="s">
        <v>5</v>
      </c>
      <c r="C21" s="31">
        <f t="shared" si="0"/>
        <v>13.5</v>
      </c>
      <c r="D21" s="50">
        <v>10</v>
      </c>
      <c r="E21" s="33">
        <v>17</v>
      </c>
      <c r="F21" s="33"/>
      <c r="G21" s="33"/>
      <c r="H21" s="33"/>
    </row>
    <row r="22" spans="1:14" x14ac:dyDescent="0.3">
      <c r="A22" s="86"/>
      <c r="B22" s="13" t="s">
        <v>6</v>
      </c>
      <c r="C22" s="31">
        <f t="shared" si="0"/>
        <v>10.833333333333334</v>
      </c>
      <c r="D22" s="50">
        <v>17.5</v>
      </c>
      <c r="E22" s="33">
        <v>7.5</v>
      </c>
      <c r="F22" s="33">
        <v>7.5</v>
      </c>
      <c r="G22" s="33"/>
      <c r="H22" s="33"/>
    </row>
    <row r="23" spans="1:14" ht="15" customHeight="1" x14ac:dyDescent="0.3">
      <c r="A23" s="86"/>
      <c r="B23" s="13" t="s">
        <v>12</v>
      </c>
      <c r="C23" s="31">
        <f t="shared" si="0"/>
        <v>14</v>
      </c>
      <c r="D23" s="50">
        <v>14</v>
      </c>
      <c r="E23" s="33"/>
      <c r="F23" s="33"/>
      <c r="G23" s="33"/>
      <c r="H23" s="33"/>
    </row>
    <row r="24" spans="1:14" ht="15" customHeight="1" x14ac:dyDescent="0.3">
      <c r="A24" s="87" t="s">
        <v>40</v>
      </c>
      <c r="B24" s="14" t="s">
        <v>7</v>
      </c>
      <c r="C24" s="31">
        <f t="shared" si="0"/>
        <v>20</v>
      </c>
      <c r="D24" s="50">
        <v>20</v>
      </c>
      <c r="E24" s="33">
        <v>20</v>
      </c>
      <c r="F24" s="33">
        <v>20</v>
      </c>
      <c r="G24" s="33"/>
      <c r="H24" s="33"/>
    </row>
    <row r="25" spans="1:14" x14ac:dyDescent="0.3">
      <c r="A25" s="88"/>
      <c r="B25" s="14" t="s">
        <v>8</v>
      </c>
      <c r="C25" s="31">
        <f>IF(OR(D25="ABI",E25="ABI",F25="ABI",G25="ABI",H25="ABI")=TRUE, 0, IF(COUNTA(D25:H25)=0, 0, AVERAGE(D25:H25)))</f>
        <v>15</v>
      </c>
      <c r="D25" s="50">
        <v>17</v>
      </c>
      <c r="E25" s="33">
        <v>13</v>
      </c>
      <c r="F25" s="33"/>
      <c r="G25" s="33"/>
      <c r="H25" s="33"/>
    </row>
    <row r="26" spans="1:14" x14ac:dyDescent="0.3">
      <c r="A26" s="88"/>
      <c r="B26" s="14" t="s">
        <v>9</v>
      </c>
      <c r="C26" s="31">
        <f t="shared" ref="C26:C50" si="1">IF(OR(D26="ABI",E26="ABI",F26="ABI",G26="ABI",H26="ABI")=TRUE, 0, IF(COUNTA(D26:H26)=0, 0, AVERAGE(D26:H26)))</f>
        <v>15.25</v>
      </c>
      <c r="D26" s="50">
        <v>16.5</v>
      </c>
      <c r="E26" s="33">
        <v>14</v>
      </c>
      <c r="F26" s="33"/>
      <c r="G26" s="33"/>
      <c r="H26" s="33"/>
    </row>
    <row r="27" spans="1:14" x14ac:dyDescent="0.3">
      <c r="A27" s="88"/>
      <c r="B27" s="14" t="s">
        <v>13</v>
      </c>
      <c r="C27" s="31">
        <f t="shared" si="1"/>
        <v>17.125</v>
      </c>
      <c r="D27" s="50">
        <v>16.75</v>
      </c>
      <c r="E27" s="33">
        <v>17.5</v>
      </c>
      <c r="F27" s="33"/>
      <c r="G27" s="33"/>
      <c r="H27" s="33"/>
    </row>
    <row r="28" spans="1:14" x14ac:dyDescent="0.3">
      <c r="A28" s="88"/>
      <c r="B28" s="14" t="s">
        <v>14</v>
      </c>
      <c r="C28" s="31">
        <f t="shared" si="1"/>
        <v>16.53333346048991</v>
      </c>
      <c r="D28" s="50">
        <v>15</v>
      </c>
      <c r="E28" s="33">
        <v>15.600000381469727</v>
      </c>
      <c r="F28" s="33">
        <v>19</v>
      </c>
      <c r="G28" s="33"/>
      <c r="H28" s="33"/>
    </row>
    <row r="29" spans="1:14" x14ac:dyDescent="0.3">
      <c r="A29" s="88"/>
      <c r="B29" s="14" t="s">
        <v>15</v>
      </c>
      <c r="C29" s="31">
        <f t="shared" si="1"/>
        <v>13.5</v>
      </c>
      <c r="D29" s="50">
        <v>14</v>
      </c>
      <c r="E29" s="33">
        <v>13</v>
      </c>
      <c r="F29" s="33"/>
      <c r="G29" s="33"/>
      <c r="H29" s="33"/>
    </row>
    <row r="30" spans="1:14" x14ac:dyDescent="0.3">
      <c r="A30" s="10" t="s">
        <v>41</v>
      </c>
      <c r="B30" s="15" t="s">
        <v>34</v>
      </c>
      <c r="C30" s="31">
        <f t="shared" si="1"/>
        <v>16.5</v>
      </c>
      <c r="D30" s="63">
        <v>16</v>
      </c>
      <c r="E30" s="33">
        <v>17</v>
      </c>
      <c r="F30" s="33"/>
      <c r="G30" s="33"/>
      <c r="H30" s="33"/>
    </row>
    <row r="31" spans="1:14" ht="18" x14ac:dyDescent="0.35">
      <c r="A31" s="71" t="s">
        <v>16</v>
      </c>
      <c r="B31" s="71"/>
      <c r="C31" s="17" t="s">
        <v>37</v>
      </c>
      <c r="D31" s="11" t="s">
        <v>42</v>
      </c>
      <c r="E31" s="11" t="s">
        <v>42</v>
      </c>
      <c r="F31" s="11" t="s">
        <v>42</v>
      </c>
      <c r="G31" s="11" t="s">
        <v>42</v>
      </c>
      <c r="H31" s="11" t="s">
        <v>42</v>
      </c>
      <c r="I31" s="30"/>
      <c r="J31" s="30"/>
      <c r="K31" s="30"/>
      <c r="L31" s="30"/>
      <c r="M31" s="30"/>
      <c r="N31" s="30"/>
    </row>
    <row r="32" spans="1:14" x14ac:dyDescent="0.3">
      <c r="A32" s="80" t="s">
        <v>38</v>
      </c>
      <c r="B32" s="18" t="s">
        <v>20</v>
      </c>
      <c r="C32" s="31">
        <f t="shared" si="1"/>
        <v>14</v>
      </c>
      <c r="D32" s="63">
        <v>14</v>
      </c>
      <c r="E32" s="33"/>
      <c r="F32" s="33"/>
      <c r="G32" s="33"/>
      <c r="H32" s="33"/>
    </row>
    <row r="33" spans="1:8" x14ac:dyDescent="0.3">
      <c r="A33" s="80"/>
      <c r="B33" s="18" t="s">
        <v>17</v>
      </c>
      <c r="C33" s="31">
        <f t="shared" si="1"/>
        <v>14.5</v>
      </c>
      <c r="D33" s="34">
        <v>15.5</v>
      </c>
      <c r="E33" s="33">
        <v>13.5</v>
      </c>
      <c r="F33" s="33"/>
      <c r="G33" s="33"/>
      <c r="H33" s="33"/>
    </row>
    <row r="34" spans="1:8" x14ac:dyDescent="0.3">
      <c r="A34" s="80"/>
      <c r="B34" s="18" t="s">
        <v>18</v>
      </c>
      <c r="C34" s="31">
        <f t="shared" si="1"/>
        <v>12</v>
      </c>
      <c r="D34" s="34">
        <v>10</v>
      </c>
      <c r="E34" s="33">
        <v>14</v>
      </c>
      <c r="F34" s="33"/>
      <c r="G34" s="33"/>
      <c r="H34" s="33"/>
    </row>
    <row r="35" spans="1:8" x14ac:dyDescent="0.3">
      <c r="A35" s="80"/>
      <c r="B35" s="18" t="s">
        <v>19</v>
      </c>
      <c r="C35" s="31">
        <f t="shared" si="1"/>
        <v>13.75</v>
      </c>
      <c r="D35" s="34">
        <v>9.5</v>
      </c>
      <c r="E35" s="33">
        <v>18</v>
      </c>
      <c r="F35" s="33"/>
      <c r="G35" s="33"/>
      <c r="H35" s="33"/>
    </row>
    <row r="36" spans="1:8" x14ac:dyDescent="0.3">
      <c r="A36" s="80"/>
      <c r="B36" s="18" t="s">
        <v>28</v>
      </c>
      <c r="C36" s="31">
        <f t="shared" si="1"/>
        <v>15.5</v>
      </c>
      <c r="D36" s="34">
        <v>15.5</v>
      </c>
      <c r="E36" s="33"/>
      <c r="F36" s="33"/>
      <c r="G36" s="33"/>
      <c r="H36" s="33"/>
    </row>
    <row r="37" spans="1:8" x14ac:dyDescent="0.3">
      <c r="A37" s="81" t="s">
        <v>39</v>
      </c>
      <c r="B37" s="19" t="s">
        <v>21</v>
      </c>
      <c r="C37" s="31">
        <f t="shared" si="1"/>
        <v>16.5</v>
      </c>
      <c r="D37" s="34">
        <v>16.5</v>
      </c>
      <c r="E37" s="33"/>
      <c r="F37" s="33"/>
      <c r="G37" s="33"/>
      <c r="H37" s="33"/>
    </row>
    <row r="38" spans="1:8" x14ac:dyDescent="0.3">
      <c r="A38" s="81"/>
      <c r="B38" s="20" t="s">
        <v>23</v>
      </c>
      <c r="C38" s="31">
        <f t="shared" si="1"/>
        <v>11.25</v>
      </c>
      <c r="D38" s="34">
        <v>10.5</v>
      </c>
      <c r="E38" s="33">
        <v>12</v>
      </c>
      <c r="F38" s="33"/>
      <c r="G38" s="33"/>
      <c r="H38" s="33"/>
    </row>
    <row r="39" spans="1:8" x14ac:dyDescent="0.3">
      <c r="A39" s="81"/>
      <c r="B39" s="20" t="s">
        <v>24</v>
      </c>
      <c r="C39" s="31">
        <f t="shared" si="1"/>
        <v>14.75</v>
      </c>
      <c r="D39" s="34">
        <v>16</v>
      </c>
      <c r="E39" s="33">
        <v>13.5</v>
      </c>
      <c r="F39" s="33"/>
      <c r="G39" s="33"/>
      <c r="H39" s="33"/>
    </row>
    <row r="40" spans="1:8" x14ac:dyDescent="0.3">
      <c r="A40" s="81"/>
      <c r="B40" s="20" t="s">
        <v>22</v>
      </c>
      <c r="C40" s="31">
        <f t="shared" si="1"/>
        <v>17</v>
      </c>
      <c r="D40" s="34">
        <v>16</v>
      </c>
      <c r="E40" s="33">
        <v>18</v>
      </c>
      <c r="F40" s="33"/>
      <c r="G40" s="33"/>
      <c r="H40" s="33"/>
    </row>
    <row r="41" spans="1:8" x14ac:dyDescent="0.3">
      <c r="A41" s="81"/>
      <c r="B41" s="20" t="s">
        <v>29</v>
      </c>
      <c r="C41" s="31">
        <f t="shared" si="1"/>
        <v>10</v>
      </c>
      <c r="D41" s="34">
        <v>10</v>
      </c>
      <c r="E41" s="33"/>
      <c r="F41" s="33"/>
      <c r="G41" s="33"/>
      <c r="H41" s="33"/>
    </row>
    <row r="42" spans="1:8" x14ac:dyDescent="0.3">
      <c r="A42" s="81"/>
      <c r="B42" s="20" t="s">
        <v>30</v>
      </c>
      <c r="C42" s="31">
        <f t="shared" si="1"/>
        <v>15</v>
      </c>
      <c r="D42" s="34">
        <v>15</v>
      </c>
      <c r="E42" s="33"/>
      <c r="F42" s="33"/>
      <c r="G42" s="33"/>
      <c r="H42" s="33"/>
    </row>
    <row r="43" spans="1:8" x14ac:dyDescent="0.3">
      <c r="A43" s="82" t="s">
        <v>40</v>
      </c>
      <c r="B43" s="21" t="s">
        <v>25</v>
      </c>
      <c r="C43" s="31">
        <f t="shared" si="1"/>
        <v>20</v>
      </c>
      <c r="D43" s="34">
        <v>20</v>
      </c>
      <c r="E43" s="33">
        <v>20</v>
      </c>
      <c r="F43" s="33"/>
      <c r="G43" s="33"/>
      <c r="H43" s="33"/>
    </row>
    <row r="44" spans="1:8" x14ac:dyDescent="0.3">
      <c r="A44" s="82"/>
      <c r="B44" s="21" t="s">
        <v>26</v>
      </c>
      <c r="C44" s="31">
        <f t="shared" si="1"/>
        <v>15.873333333333333</v>
      </c>
      <c r="D44" s="34">
        <v>16.399999999999999</v>
      </c>
      <c r="E44" s="33">
        <v>17.22</v>
      </c>
      <c r="F44" s="33">
        <v>14</v>
      </c>
      <c r="G44" s="33"/>
      <c r="H44" s="33"/>
    </row>
    <row r="45" spans="1:8" x14ac:dyDescent="0.3">
      <c r="A45" s="82"/>
      <c r="B45" s="21" t="s">
        <v>27</v>
      </c>
      <c r="C45" s="31">
        <f t="shared" si="1"/>
        <v>15.3125</v>
      </c>
      <c r="D45" s="34">
        <v>12.75</v>
      </c>
      <c r="E45" s="33">
        <v>15.5</v>
      </c>
      <c r="F45" s="33">
        <v>15</v>
      </c>
      <c r="G45" s="33">
        <v>18</v>
      </c>
      <c r="H45" s="33"/>
    </row>
    <row r="46" spans="1:8" x14ac:dyDescent="0.3">
      <c r="A46" s="82"/>
      <c r="B46" s="21" t="s">
        <v>32</v>
      </c>
      <c r="C46" s="31">
        <f t="shared" si="1"/>
        <v>17</v>
      </c>
      <c r="D46" s="34">
        <v>17</v>
      </c>
      <c r="E46" s="33"/>
      <c r="F46" s="33"/>
      <c r="G46" s="33"/>
      <c r="H46" s="33"/>
    </row>
    <row r="47" spans="1:8" x14ac:dyDescent="0.3">
      <c r="A47" s="83" t="s">
        <v>46</v>
      </c>
      <c r="B47" s="15" t="s">
        <v>35</v>
      </c>
      <c r="C47" s="31">
        <f t="shared" si="1"/>
        <v>12</v>
      </c>
      <c r="D47" s="34">
        <v>12</v>
      </c>
      <c r="E47" s="33"/>
      <c r="F47" s="33"/>
      <c r="G47" s="33"/>
      <c r="H47" s="33"/>
    </row>
    <row r="48" spans="1:8" x14ac:dyDescent="0.3">
      <c r="A48" s="83"/>
      <c r="B48" s="22" t="s">
        <v>31</v>
      </c>
      <c r="C48" s="31">
        <f t="shared" si="1"/>
        <v>12.5</v>
      </c>
      <c r="D48" s="34">
        <v>12.5</v>
      </c>
      <c r="E48" s="33"/>
      <c r="F48" s="33"/>
      <c r="G48" s="33"/>
      <c r="H48" s="33"/>
    </row>
    <row r="49" spans="1:8" x14ac:dyDescent="0.3">
      <c r="A49" s="83"/>
      <c r="B49" s="22" t="s">
        <v>33</v>
      </c>
      <c r="C49" s="31">
        <f t="shared" si="1"/>
        <v>0</v>
      </c>
      <c r="D49" s="34"/>
      <c r="E49" s="33"/>
      <c r="F49" s="33"/>
      <c r="G49" s="33"/>
      <c r="H49" s="33"/>
    </row>
    <row r="50" spans="1:8" x14ac:dyDescent="0.3">
      <c r="A50" s="83"/>
      <c r="B50" s="15" t="s">
        <v>36</v>
      </c>
      <c r="C50" s="31">
        <f t="shared" si="1"/>
        <v>0</v>
      </c>
      <c r="D50" s="34"/>
      <c r="E50" s="33"/>
      <c r="F50" s="33"/>
      <c r="G50" s="33"/>
      <c r="H50" s="33"/>
    </row>
    <row r="51" spans="1:8" x14ac:dyDescent="0.3">
      <c r="D51" s="32"/>
    </row>
    <row r="52" spans="1:8" x14ac:dyDescent="0.3">
      <c r="D52" s="27"/>
    </row>
  </sheetData>
  <sheetProtection selectLockedCells="1"/>
  <mergeCells count="9">
    <mergeCell ref="A32:A36"/>
    <mergeCell ref="A37:A42"/>
    <mergeCell ref="A43:A46"/>
    <mergeCell ref="A47:A50"/>
    <mergeCell ref="A14:B14"/>
    <mergeCell ref="A31:B31"/>
    <mergeCell ref="A15:A19"/>
    <mergeCell ref="A20:A23"/>
    <mergeCell ref="A24:A29"/>
  </mergeCells>
  <phoneticPr fontId="6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7" r:id="rId4" name="AccesGuide">
          <controlPr defaultSize="0" autoLine="0" autoPict="0" r:id="rId5">
            <anchor moveWithCells="1">
              <from>
                <xdr:col>3</xdr:col>
                <xdr:colOff>502920</xdr:colOff>
                <xdr:row>2</xdr:row>
                <xdr:rowOff>83820</xdr:rowOff>
              </from>
              <to>
                <xdr:col>8</xdr:col>
                <xdr:colOff>22860</xdr:colOff>
                <xdr:row>9</xdr:row>
                <xdr:rowOff>0</xdr:rowOff>
              </to>
            </anchor>
          </controlPr>
        </control>
      </mc:Choice>
      <mc:Fallback>
        <control shapeId="3077" r:id="rId4" name="AccesGuide"/>
      </mc:Fallback>
    </mc:AlternateContent>
    <mc:AlternateContent xmlns:mc="http://schemas.openxmlformats.org/markup-compatibility/2006">
      <mc:Choice Requires="x14">
        <control shapeId="3075" r:id="rId6" name="btnModifNote">
          <controlPr defaultSize="0" autoLine="0" r:id="rId7">
            <anchor moveWithCells="1">
              <from>
                <xdr:col>0</xdr:col>
                <xdr:colOff>3870960</xdr:colOff>
                <xdr:row>2</xdr:row>
                <xdr:rowOff>99060</xdr:rowOff>
              </from>
              <to>
                <xdr:col>1</xdr:col>
                <xdr:colOff>2324100</xdr:colOff>
                <xdr:row>8</xdr:row>
                <xdr:rowOff>144780</xdr:rowOff>
              </to>
            </anchor>
          </controlPr>
        </control>
      </mc:Choice>
      <mc:Fallback>
        <control shapeId="3075" r:id="rId6" name="btnModifNote"/>
      </mc:Fallback>
    </mc:AlternateContent>
    <mc:AlternateContent xmlns:mc="http://schemas.openxmlformats.org/markup-compatibility/2006">
      <mc:Choice Requires="x14">
        <control shapeId="3074" r:id="rId8" name="btnSupprNote">
          <controlPr defaultSize="0" autoLine="0" r:id="rId9">
            <anchor moveWithCells="1">
              <from>
                <xdr:col>1</xdr:col>
                <xdr:colOff>3611880</xdr:colOff>
                <xdr:row>2</xdr:row>
                <xdr:rowOff>106680</xdr:rowOff>
              </from>
              <to>
                <xdr:col>2</xdr:col>
                <xdr:colOff>434340</xdr:colOff>
                <xdr:row>8</xdr:row>
                <xdr:rowOff>152400</xdr:rowOff>
              </to>
            </anchor>
          </controlPr>
        </control>
      </mc:Choice>
      <mc:Fallback>
        <control shapeId="3074" r:id="rId8" name="btnSupprNote"/>
      </mc:Fallback>
    </mc:AlternateContent>
    <mc:AlternateContent xmlns:mc="http://schemas.openxmlformats.org/markup-compatibility/2006">
      <mc:Choice Requires="x14">
        <control shapeId="3073" r:id="rId10" name="btnInserNote">
          <controlPr defaultSize="0" autoLine="0" autoPict="0" r:id="rId11">
            <anchor moveWithCells="1">
              <from>
                <xdr:col>0</xdr:col>
                <xdr:colOff>0</xdr:colOff>
                <xdr:row>2</xdr:row>
                <xdr:rowOff>99060</xdr:rowOff>
              </from>
              <to>
                <xdr:col>0</xdr:col>
                <xdr:colOff>2575560</xdr:colOff>
                <xdr:row>8</xdr:row>
                <xdr:rowOff>144780</xdr:rowOff>
              </to>
            </anchor>
          </controlPr>
        </control>
      </mc:Choice>
      <mc:Fallback>
        <control shapeId="3073" r:id="rId10" name="btnInserNo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F734C-31F9-43A1-A5E7-B643E68CAA79}">
  <sheetPr codeName="Feuil2"/>
  <dimension ref="A1:S30"/>
  <sheetViews>
    <sheetView zoomScale="55" zoomScaleNormal="55" workbookViewId="0">
      <selection activeCell="C11" sqref="C11"/>
    </sheetView>
  </sheetViews>
  <sheetFormatPr baseColWidth="10" defaultColWidth="11.44140625" defaultRowHeight="14.4" x14ac:dyDescent="0.3"/>
  <cols>
    <col min="1" max="1" width="11.44140625" style="53"/>
    <col min="2" max="2" width="66.44140625" style="53" bestFit="1" customWidth="1"/>
    <col min="3" max="3" width="28.6640625" style="53" bestFit="1" customWidth="1"/>
    <col min="4" max="13" width="11.44140625" style="53"/>
    <col min="14" max="14" width="27.5546875" style="53" customWidth="1"/>
    <col min="15" max="16384" width="11.44140625" style="53"/>
  </cols>
  <sheetData>
    <row r="1" spans="1:19" ht="25.2" customHeight="1" x14ac:dyDescent="0.3"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6"/>
      <c r="P1" s="89"/>
      <c r="Q1" s="89"/>
      <c r="R1" s="89"/>
      <c r="S1" s="59"/>
    </row>
    <row r="2" spans="1:19" ht="24.9" customHeight="1" x14ac:dyDescent="0.3">
      <c r="A2" s="56"/>
      <c r="B2" s="51" t="s">
        <v>0</v>
      </c>
      <c r="C2" s="51" t="s">
        <v>37</v>
      </c>
      <c r="D2" s="103" t="s">
        <v>43</v>
      </c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64"/>
      <c r="P2" s="89"/>
      <c r="Q2" s="89"/>
      <c r="R2" s="89"/>
      <c r="S2" s="59"/>
    </row>
    <row r="3" spans="1:19" ht="24.9" customHeight="1" x14ac:dyDescent="0.3">
      <c r="A3" s="56"/>
      <c r="B3" s="111" t="s">
        <v>38</v>
      </c>
      <c r="C3" s="102">
        <f>('Coef - BUT1'!C3*Note!C15+'Coef - BUT1'!C4*Note!C16+'Coef - BUT1'!C5*Note!C17+Note!C30*'Coef - BUT1'!C6+'Coef - BUT1'!C7*Note!C18+'Coef - BUT1'!C8*Note!C19)/SUM('Coef - BUT1'!C3:C8)</f>
        <v>14.783333333333333</v>
      </c>
      <c r="D3" s="113" t="str" cm="1">
        <f t="array" ref="D3">_xlfn.IFS(C3&lt;10, "Votre moyenne est de " &amp; ROUND(C3,2) &amp; " ; vous n'avez pas validé la " &amp;B3, C3&gt;=10, "Votre moyenne est de " &amp; ROUND(C3,2) &amp; " ; vous avez validé la " &amp;B3 &amp; " au niveau 1 pour le semestre 1")</f>
        <v>Votre moyenne est de 14,78 ; vous avez validé la Compétence 1 : Traiter des données à des fins décisionnelles au niveau 1 pour le semestre 1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64"/>
      <c r="P3" s="89"/>
      <c r="Q3" s="89"/>
      <c r="R3" s="89"/>
      <c r="S3" s="59"/>
    </row>
    <row r="4" spans="1:19" x14ac:dyDescent="0.3">
      <c r="A4" s="56"/>
      <c r="B4" s="111"/>
      <c r="C4" s="102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64"/>
      <c r="P4" s="90"/>
      <c r="Q4" s="90"/>
      <c r="R4" s="90"/>
      <c r="S4" s="59"/>
    </row>
    <row r="5" spans="1:19" ht="24.9" customHeight="1" x14ac:dyDescent="0.3">
      <c r="A5" s="56"/>
      <c r="B5" s="112" t="s">
        <v>39</v>
      </c>
      <c r="C5" s="102">
        <f>('Coef - BUT1'!C10*Note!C20+'Coef - BUT1'!C11*Note!C21+'Coef - BUT1'!C12*Note!C22+'Coef - BUT1'!C13*Note!C30+'Coef - BUT1'!C14*Note!C23)/SUM('Coef - BUT1'!C10:C14)</f>
        <v>14.016666666666667</v>
      </c>
      <c r="D5" s="113" t="str" cm="1">
        <f t="array" ref="D5">_xlfn.IFS(C5&lt;10, "Votre moyenne est de " &amp; ROUND(C5,2) &amp; " ; vous n'avez pas validé la " &amp;B5, C5&gt;=10, "Votre moyenne est de " &amp; ROUND(C5,2) &amp; " ; vous avez validé la " &amp;B5 &amp; " au niveau 1 pour le semestre 1")</f>
        <v>Votre moyenne est de 14,02 ; vous avez validé la Compétence 2 : Analyser statistiquement les données au niveau 1 pour le semestre 1</v>
      </c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64"/>
      <c r="P5" s="90"/>
      <c r="Q5" s="90"/>
      <c r="R5" s="90"/>
      <c r="S5" s="59"/>
    </row>
    <row r="6" spans="1:19" x14ac:dyDescent="0.3">
      <c r="A6" s="56"/>
      <c r="B6" s="112"/>
      <c r="C6" s="102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64"/>
      <c r="P6" s="90"/>
      <c r="Q6" s="90"/>
      <c r="R6" s="90"/>
      <c r="S6" s="59"/>
    </row>
    <row r="7" spans="1:19" ht="24.9" customHeight="1" x14ac:dyDescent="0.3">
      <c r="A7" s="56"/>
      <c r="B7" s="110" t="s">
        <v>40</v>
      </c>
      <c r="C7" s="102">
        <f>('Coef - BUT1'!C16*Note!C24+'Coef - BUT1'!C17*Note!C25+'Coef - BUT1'!C18*Note!C26+'Coef - BUT1'!C19*Note!C30+'Coef - BUT1'!C20*Note!C27+'Coef - BUT1'!C21*Note!C28+'Coef - BUT1'!C22*Note!C29)/SUM('Coef - BUT1'!C16:C22)</f>
        <v>16.134583346048991</v>
      </c>
      <c r="D7" s="113" t="str" cm="1">
        <f t="array" ref="D7">_xlfn.IFS(C7&lt;10, "Votre moyenne est de " &amp; ROUND(C7,2) &amp; " ; vous n'avez pas validé la " &amp;B7, C7&gt;=10, "Votre moyenne est de " &amp; ROUND(C7,2) &amp; " ; vous avez validé la " &amp;B7 &amp; " au niveau 1 pour le semestre 1")</f>
        <v>Votre moyenne est de 16,13 ; vous avez validé la Compétence 3 : Valoriser une production dans un contexte professionnel au niveau 1 pour le semestre 1</v>
      </c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64"/>
      <c r="P7" s="90"/>
      <c r="Q7" s="90"/>
      <c r="R7" s="90"/>
      <c r="S7" s="59"/>
    </row>
    <row r="8" spans="1:19" x14ac:dyDescent="0.3">
      <c r="A8" s="56"/>
      <c r="B8" s="110"/>
      <c r="C8" s="102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64"/>
      <c r="P8" s="90"/>
      <c r="Q8" s="90"/>
      <c r="R8" s="90"/>
      <c r="S8" s="59"/>
    </row>
    <row r="9" spans="1:19" x14ac:dyDescent="0.3">
      <c r="B9" s="58"/>
      <c r="C9" s="60"/>
      <c r="D9" s="103" t="str">
        <f>IF(COUNTIF(Note!D15:H30,"ABI")&gt;0, "ABI", IF(OR(COUNTIF(C3:C8, "&gt;=10")=3, AND(COUNTIF(C3:C8, "&gt;=10")=2, COUNTIF(C3:C8, "&gt;=8")=3)), "Semestre validé", "Semestre non validé"))</f>
        <v>Semestre validé</v>
      </c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64"/>
      <c r="P9" s="90"/>
      <c r="Q9" s="90"/>
      <c r="R9" s="90"/>
      <c r="S9" s="59"/>
    </row>
    <row r="10" spans="1:19" x14ac:dyDescent="0.3">
      <c r="B10" s="57"/>
      <c r="C10" s="61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64"/>
      <c r="P10" s="90"/>
      <c r="Q10" s="90"/>
      <c r="R10" s="90"/>
      <c r="S10" s="59"/>
    </row>
    <row r="11" spans="1:19" ht="24.9" customHeight="1" x14ac:dyDescent="0.4">
      <c r="A11" s="56"/>
      <c r="B11" s="49" t="s">
        <v>16</v>
      </c>
      <c r="C11" s="51" t="s">
        <v>37</v>
      </c>
      <c r="D11" s="103" t="s">
        <v>43</v>
      </c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64"/>
      <c r="P11" s="90"/>
      <c r="Q11" s="90"/>
      <c r="R11" s="90"/>
      <c r="S11" s="59"/>
    </row>
    <row r="12" spans="1:19" ht="24.9" customHeight="1" x14ac:dyDescent="0.3">
      <c r="A12" s="56"/>
      <c r="B12" s="111" t="s">
        <v>38</v>
      </c>
      <c r="C12" s="102">
        <f>('Coef - BUT1'!C25*Note!C32+'Coef - BUT1'!C26*Note!C33+'Coef - BUT1'!C27*Note!C34+'Coef - BUT1'!C28*Note!C35+'Coef - BUT1'!C29*Note!C47+'Coef - BUT1'!C30*Note!C36+'Coef - BUT1'!C31*Note!C48+'Coef - BUT1'!C32*Note!C49+'Coef - BUT1'!C33*Note!C50)/SUM('Coef - BUT1'!C25:C33)</f>
        <v>10.2125</v>
      </c>
      <c r="D12" s="113" t="str" cm="1">
        <f t="array" ref="D12">_xlfn.IFS(C12&lt;10, "Votre moyenne est de " &amp; ROUND(C12,2) &amp; " ; vous n'avez pas validé la " &amp;B12, C12&gt;=10, "Votre moyenne est de " &amp; ROUND(C12,2) &amp; " ; vous avez validé la " &amp;B12 &amp; " au niveau 2 pour le semestre 2")</f>
        <v>Votre moyenne est de 10,21 ; vous avez validé la Compétence 1 : Traiter des données à des fins décisionnelles au niveau 2 pour le semestre 2</v>
      </c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59"/>
      <c r="P12" s="58"/>
      <c r="Q12" s="58"/>
      <c r="R12" s="58"/>
    </row>
    <row r="13" spans="1:19" x14ac:dyDescent="0.3">
      <c r="A13" s="56"/>
      <c r="B13" s="111"/>
      <c r="C13" s="102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59"/>
    </row>
    <row r="14" spans="1:19" ht="24.9" customHeight="1" x14ac:dyDescent="0.3">
      <c r="A14" s="56"/>
      <c r="B14" s="112" t="s">
        <v>39</v>
      </c>
      <c r="C14" s="102">
        <f>('Coef - BUT1'!C35*Note!C37+'Coef - BUT1'!C36*Note!C38+'Coef - BUT1'!C37*Note!C39+'Coef - BUT1'!C38*Note!C40+'Coef - BUT1'!C39*Note!C47+'Coef - BUT1'!C40*Note!C41+'Coef - BUT1'!C41*Note!C42+'Coef - BUT1'!C42*Note!C48+'Coef - BUT1'!C43*Note!C49+'Coef - BUT1'!C44*Note!C50)/SUM('Coef - BUT1'!C35:C44)</f>
        <v>11.824999999999999</v>
      </c>
      <c r="D14" s="113" t="str" cm="1">
        <f t="array" ref="D14">_xlfn.IFS(C14&lt;10, "Votre moyenne est de " &amp; ROUND(C14,2) &amp; " ; vous n'avez pas validé la " &amp;B14, C14&gt;=10, "Votre moyenne est de " &amp; ROUND(C14,2) &amp; " ; vous avez validé la " &amp;B14 &amp; " au niveau 2 pour le semestre 2")</f>
        <v>Votre moyenne est de 11,83 ; vous avez validé la Compétence 2 : Analyser statistiquement les données au niveau 2 pour le semestre 2</v>
      </c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59"/>
    </row>
    <row r="15" spans="1:19" x14ac:dyDescent="0.3">
      <c r="A15" s="56"/>
      <c r="B15" s="112"/>
      <c r="C15" s="102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59"/>
    </row>
    <row r="16" spans="1:19" ht="24.9" customHeight="1" x14ac:dyDescent="0.3">
      <c r="A16" s="56"/>
      <c r="B16" s="110" t="s">
        <v>40</v>
      </c>
      <c r="C16" s="102">
        <f>('Coef - BUT1'!C46*Note!C43+'Coef - BUT1'!C47*Note!C44+'Coef - BUT1'!C48*Note!C45+'Coef - BUT1'!C49*Note!C47+'Coef - BUT1'!C50*Note!C48+'Coef - BUT1'!C51*Note!C46+'Coef - BUT1'!C52*Note!C49+'Coef - BUT1'!C53*Note!C50)/SUM('Coef - BUT1'!C46:C53)</f>
        <v>12.134124999999999</v>
      </c>
      <c r="D16" s="113" t="str" cm="1">
        <f t="array" ref="D16">_xlfn.IFS(C16&lt;10, "Votre moyenne est de " &amp; ROUND(C16,2) &amp; " ; vous n'avez pas validé la " &amp;B16, C16&gt;=10, "Votre moyenne est de " &amp; ROUND(C16,2) &amp; " ; vous avez validé la " &amp;B16 &amp; " au niveau 2 pour le semestre 2")</f>
        <v>Votre moyenne est de 12,13 ; vous avez validé la Compétence 3 : Valoriser une production dans un contexte professionnel au niveau 2 pour le semestre 2</v>
      </c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59"/>
    </row>
    <row r="17" spans="1:15" x14ac:dyDescent="0.3">
      <c r="A17" s="56"/>
      <c r="B17" s="110"/>
      <c r="C17" s="102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59"/>
    </row>
    <row r="18" spans="1:15" x14ac:dyDescent="0.3">
      <c r="B18" s="62"/>
      <c r="C18" s="60"/>
      <c r="D18" s="103" t="str">
        <f>IF(COUNTIF(Note!D32:H50,"ABI")&gt;0, "ABI", IF(OR(COUNTIF(C12:C17, "&gt;=10")=3, AND(COUNTIF(C12:C17, "&gt;=10")=2, COUNTIF(C12:C17, "&gt;=8")=3)), "Semestre validé", "Semestre non validé"))</f>
        <v>Semestre validé</v>
      </c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59"/>
    </row>
    <row r="19" spans="1:15" x14ac:dyDescent="0.3">
      <c r="B19" s="55"/>
      <c r="C19" s="56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59"/>
    </row>
    <row r="20" spans="1:15" x14ac:dyDescent="0.3">
      <c r="B20" s="55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</row>
    <row r="21" spans="1:15" x14ac:dyDescent="0.3"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1:15" ht="24.9" customHeight="1" x14ac:dyDescent="0.3">
      <c r="B22" s="61"/>
      <c r="C22" s="51" t="s">
        <v>44</v>
      </c>
      <c r="D22" s="103" t="s">
        <v>45</v>
      </c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59"/>
    </row>
    <row r="23" spans="1:15" ht="24.9" customHeight="1" x14ac:dyDescent="0.3">
      <c r="A23" s="56"/>
      <c r="B23" s="108" t="s">
        <v>38</v>
      </c>
      <c r="C23" s="100">
        <f>AVERAGE(C3,C12)</f>
        <v>12.497916666666667</v>
      </c>
      <c r="D23" s="91" t="str">
        <f>IF(OR(COUNTIF(D9,"ABI")&gt;0,COUNTIF(D18,"ABI")&gt;0), "Année non validée pour cause d'abscence à un ou plusieurs contrôles", IF(OR(COUNTIF(C23:C28, "&gt;=10")=3, AND(COUNTIF(C23:C28, "&gt;=10")=2, COUNTIF(C23:C28, "&gt;=8")=3)), "Année validée, bien joué !", "Année non validée."))</f>
        <v>Année validée, bien joué !</v>
      </c>
      <c r="E23" s="92"/>
      <c r="F23" s="92"/>
      <c r="G23" s="92"/>
      <c r="H23" s="92"/>
      <c r="I23" s="92"/>
      <c r="J23" s="92"/>
      <c r="K23" s="92"/>
      <c r="L23" s="92"/>
      <c r="M23" s="92"/>
      <c r="N23" s="93"/>
      <c r="O23" s="59"/>
    </row>
    <row r="24" spans="1:15" ht="14.4" customHeight="1" x14ac:dyDescent="0.3">
      <c r="A24" s="56"/>
      <c r="B24" s="109"/>
      <c r="C24" s="101"/>
      <c r="D24" s="94"/>
      <c r="E24" s="95"/>
      <c r="F24" s="95"/>
      <c r="G24" s="95"/>
      <c r="H24" s="95"/>
      <c r="I24" s="95"/>
      <c r="J24" s="95"/>
      <c r="K24" s="95"/>
      <c r="L24" s="95"/>
      <c r="M24" s="95"/>
      <c r="N24" s="96"/>
      <c r="O24" s="59"/>
    </row>
    <row r="25" spans="1:15" ht="24.9" customHeight="1" x14ac:dyDescent="0.3">
      <c r="A25" s="56"/>
      <c r="B25" s="106" t="s">
        <v>39</v>
      </c>
      <c r="C25" s="100">
        <f>AVERAGE(C5,C14)</f>
        <v>12.920833333333334</v>
      </c>
      <c r="D25" s="94"/>
      <c r="E25" s="95"/>
      <c r="F25" s="95"/>
      <c r="G25" s="95"/>
      <c r="H25" s="95"/>
      <c r="I25" s="95"/>
      <c r="J25" s="95"/>
      <c r="K25" s="95"/>
      <c r="L25" s="95"/>
      <c r="M25" s="95"/>
      <c r="N25" s="96"/>
      <c r="O25" s="59"/>
    </row>
    <row r="26" spans="1:15" ht="14.4" customHeight="1" x14ac:dyDescent="0.3">
      <c r="A26" s="56"/>
      <c r="B26" s="107"/>
      <c r="C26" s="101"/>
      <c r="D26" s="94"/>
      <c r="E26" s="95"/>
      <c r="F26" s="95"/>
      <c r="G26" s="95"/>
      <c r="H26" s="95"/>
      <c r="I26" s="95"/>
      <c r="J26" s="95"/>
      <c r="K26" s="95"/>
      <c r="L26" s="95"/>
      <c r="M26" s="95"/>
      <c r="N26" s="96"/>
      <c r="O26" s="59"/>
    </row>
    <row r="27" spans="1:15" ht="24.9" customHeight="1" x14ac:dyDescent="0.3">
      <c r="A27" s="56"/>
      <c r="B27" s="104" t="s">
        <v>40</v>
      </c>
      <c r="C27" s="100">
        <f>AVERAGE(C7,C16)</f>
        <v>14.134354173024494</v>
      </c>
      <c r="D27" s="94"/>
      <c r="E27" s="95"/>
      <c r="F27" s="95"/>
      <c r="G27" s="95"/>
      <c r="H27" s="95"/>
      <c r="I27" s="95"/>
      <c r="J27" s="95"/>
      <c r="K27" s="95"/>
      <c r="L27" s="95"/>
      <c r="M27" s="95"/>
      <c r="N27" s="96"/>
      <c r="O27" s="59"/>
    </row>
    <row r="28" spans="1:15" ht="14.4" customHeight="1" x14ac:dyDescent="0.3">
      <c r="A28" s="56"/>
      <c r="B28" s="105"/>
      <c r="C28" s="101"/>
      <c r="D28" s="97"/>
      <c r="E28" s="98"/>
      <c r="F28" s="98"/>
      <c r="G28" s="98"/>
      <c r="H28" s="98"/>
      <c r="I28" s="98"/>
      <c r="J28" s="98"/>
      <c r="K28" s="98"/>
      <c r="L28" s="98"/>
      <c r="M28" s="98"/>
      <c r="N28" s="99"/>
      <c r="O28" s="59"/>
    </row>
    <row r="29" spans="1:15" x14ac:dyDescent="0.3">
      <c r="C29" s="54"/>
      <c r="D29" s="54"/>
    </row>
    <row r="30" spans="1:15" x14ac:dyDescent="0.3">
      <c r="C30" s="54"/>
      <c r="D30" s="54"/>
    </row>
  </sheetData>
  <mergeCells count="32">
    <mergeCell ref="B12:B13"/>
    <mergeCell ref="B14:B15"/>
    <mergeCell ref="B16:B17"/>
    <mergeCell ref="D22:N22"/>
    <mergeCell ref="D18:N19"/>
    <mergeCell ref="D12:N13"/>
    <mergeCell ref="D14:N15"/>
    <mergeCell ref="B27:B28"/>
    <mergeCell ref="B25:B26"/>
    <mergeCell ref="B23:B24"/>
    <mergeCell ref="D2:N2"/>
    <mergeCell ref="B7:B8"/>
    <mergeCell ref="C3:C4"/>
    <mergeCell ref="C5:C6"/>
    <mergeCell ref="C7:C8"/>
    <mergeCell ref="B3:B4"/>
    <mergeCell ref="B5:B6"/>
    <mergeCell ref="D3:N4"/>
    <mergeCell ref="D5:N6"/>
    <mergeCell ref="D7:N8"/>
    <mergeCell ref="D9:N10"/>
    <mergeCell ref="D16:N17"/>
    <mergeCell ref="C12:C13"/>
    <mergeCell ref="P1:R3"/>
    <mergeCell ref="P4:R11"/>
    <mergeCell ref="D23:N28"/>
    <mergeCell ref="C27:C28"/>
    <mergeCell ref="C25:C26"/>
    <mergeCell ref="C23:C24"/>
    <mergeCell ref="C14:C15"/>
    <mergeCell ref="C16:C17"/>
    <mergeCell ref="D11:N11"/>
  </mergeCells>
  <conditionalFormatting sqref="C3:C8 C12:C17 C23:C28">
    <cfRule type="cellIs" dxfId="2" priority="3" operator="lessThan">
      <formula>8</formula>
    </cfRule>
  </conditionalFormatting>
  <conditionalFormatting sqref="C3:C8 C12:C17 C23:C28">
    <cfRule type="cellIs" dxfId="1" priority="2" operator="between">
      <formula>8</formula>
      <formula>10</formula>
    </cfRule>
  </conditionalFormatting>
  <conditionalFormatting sqref="C3:C8 C12:C17 C23:C28">
    <cfRule type="cellIs" dxfId="0" priority="1" operator="greaterThan">
      <formula>10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Coef - BUT1</vt:lpstr>
      <vt:lpstr>Note</vt:lpstr>
      <vt:lpstr>Résultats</vt:lpstr>
      <vt:lpstr>ressources_S1</vt:lpstr>
      <vt:lpstr>ressources_S2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Eliott Guénard</cp:lastModifiedBy>
  <cp:revision/>
  <dcterms:created xsi:type="dcterms:W3CDTF">2021-04-11T08:18:39Z</dcterms:created>
  <dcterms:modified xsi:type="dcterms:W3CDTF">2025-06-08T21:38:48Z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